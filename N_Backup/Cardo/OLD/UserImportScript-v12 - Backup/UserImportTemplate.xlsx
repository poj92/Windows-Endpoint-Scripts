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nexusos-my.sharepoint.com/personal/peter_james_nexusos_co_uk/Documents/Documents/My Scripts/Cardo/"/>
    </mc:Choice>
  </mc:AlternateContent>
  <xr:revisionPtr revIDLastSave="15" documentId="8_{05BB489D-D4D6-41EF-B90D-9F866430CFAC}" xr6:coauthVersionLast="47" xr6:coauthVersionMax="47" xr10:uidLastSave="{3FD6041F-F95C-4D20-81BE-6879DAE2DEA6}"/>
  <bookViews>
    <workbookView xWindow="15240" yWindow="-16320" windowWidth="29040" windowHeight="15720" xr2:uid="{1DA4C87B-B08F-4153-89F0-728BC5A18158}"/>
  </bookViews>
  <sheets>
    <sheet name="UserData" sheetId="1" r:id="rId1"/>
    <sheet name="Values" sheetId="2" state="hidden" r:id="rId2"/>
  </sheets>
  <definedNames>
    <definedName name="Cardo_Central">Values!$D$2:$D$10</definedName>
    <definedName name="Cardo_Group">Values!$E$2:$E$10</definedName>
    <definedName name="Cardo_South">Values!$C$2:$C$10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W2" i="1"/>
  <c r="N2" i="1"/>
  <c r="J2" i="1"/>
  <c r="K2" i="1"/>
  <c r="V2" i="1" s="1"/>
  <c r="R2" i="1"/>
  <c r="S2" i="1"/>
  <c r="T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68301-1AAA-432A-9577-BE48C57DF83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<sst xmlns="http://schemas.openxmlformats.org/spreadsheetml/2006/main" count="68" uniqueCount="59">
  <si>
    <t>First name</t>
  </si>
  <si>
    <t>Last name</t>
  </si>
  <si>
    <t>Other Name</t>
  </si>
  <si>
    <t>Telephone number</t>
  </si>
  <si>
    <t>Fax</t>
  </si>
  <si>
    <t>Mobile</t>
  </si>
  <si>
    <t>Department</t>
  </si>
  <si>
    <t>Job Title</t>
  </si>
  <si>
    <t>AuthenticationPhone</t>
  </si>
  <si>
    <t>Display name</t>
  </si>
  <si>
    <t>User principal name</t>
  </si>
  <si>
    <t>Company</t>
  </si>
  <si>
    <t>OfficeLocation</t>
  </si>
  <si>
    <t>Office</t>
  </si>
  <si>
    <t>IsFieldOperative</t>
  </si>
  <si>
    <t>D365FieldService</t>
  </si>
  <si>
    <t>Manager Email</t>
  </si>
  <si>
    <t>Account status</t>
  </si>
  <si>
    <t>User logon name</t>
  </si>
  <si>
    <t>Password</t>
  </si>
  <si>
    <t>Description</t>
  </si>
  <si>
    <t>E-mail</t>
  </si>
  <si>
    <t>StreetAddress</t>
  </si>
  <si>
    <t>Post Code</t>
  </si>
  <si>
    <t>Cardo Wales and West</t>
  </si>
  <si>
    <t>Cardiff (CF11 8QF)</t>
  </si>
  <si>
    <t>Cardiff</t>
  </si>
  <si>
    <t>Bristol</t>
  </si>
  <si>
    <t>Exeter</t>
  </si>
  <si>
    <t>Dorset</t>
  </si>
  <si>
    <t>Cardiff (CF5 4AQ)</t>
  </si>
  <si>
    <t>Operative Status</t>
  </si>
  <si>
    <t>Companies</t>
  </si>
  <si>
    <t>Cardo South</t>
  </si>
  <si>
    <t>Cardo Central</t>
  </si>
  <si>
    <t>Cardo Group</t>
  </si>
  <si>
    <t>D365FieldServiceLicense</t>
  </si>
  <si>
    <t>UserStatus</t>
  </si>
  <si>
    <t>operative</t>
  </si>
  <si>
    <t>Canterbury</t>
  </si>
  <si>
    <t>Cannock</t>
  </si>
  <si>
    <t>Yes</t>
  </si>
  <si>
    <t>Enabled</t>
  </si>
  <si>
    <t>no</t>
  </si>
  <si>
    <t>No</t>
  </si>
  <si>
    <t>Disabled</t>
  </si>
  <si>
    <t>Dacorum</t>
  </si>
  <si>
    <t>Slough</t>
  </si>
  <si>
    <t>Winchester</t>
  </si>
  <si>
    <t>Crawley</t>
  </si>
  <si>
    <t>Pembroke</t>
  </si>
  <si>
    <t>Plymouth</t>
  </si>
  <si>
    <t>Pontypridd</t>
  </si>
  <si>
    <t>Kingston upon Thames</t>
  </si>
  <si>
    <t>Cardo Scotland</t>
  </si>
  <si>
    <t>Livingston</t>
  </si>
  <si>
    <t>Caerphilly</t>
  </si>
  <si>
    <t>E3Only</t>
  </si>
  <si>
    <t>Basildon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</si>
</sst>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2" borderId="0" xfId="0" applyFont="1" applyFill="1"/>
    <xf numFmtId="0" fontId="0" fillId="3" borderId="1" xfId="0" applyFill="1" applyBorder="1" applyProtection="1">
      <protection locked="0"/>
    </xf>
    <xf numFmtId="0" fontId="0" fillId="0" borderId="1" xfId="0" applyBorder="1" applyProtection="1">
      <protection locked="0"/>
    </xf>
    <xf numFmtId="0" fontId="0" fillId="4" borderId="1" xfId="0" applyFill="1" applyBorder="1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0" fontId="0" fillId="4" borderId="1" xfId="0" applyFill="1" applyBorder="1" applyProtection="1">
      <protection locked="0"/>
    </xf>
  </cellXfs>
  <cellStyles count="1">
    <cellStyle name="Normal" xfId="0" builtinId="0"/>
  </cellStyles>
  <dxfs count="27">
    <dxf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C2E98-863C-4EA4-9CCC-F1EDFD77BD54}" name="Table2" displayName="Table2" ref="A1:Y2" totalsRowShown="0" headerRowDxfId="26" dataDxfId="25">
  <autoFilter ref="A1:Y2" xr:uid="{5B4C2E98-863C-4EA4-9CCC-F1EDFD77BD54}"/>
  <tableColumns count="25">
    <tableColumn id="1" xr3:uid="{7D89E8A3-3887-43E5-9BCC-9461EFFDB238}" name="First name" dataDxfId="24"/>
    <tableColumn id="2" xr3:uid="{5DC6CB64-A5E7-4615-849F-6A22B868EBED}" name="Last name" dataDxfId="23"/>
    <tableColumn id="3" xr3:uid="{EFF79101-43F9-4479-A5CD-9C1D5EAAB5CE}" name="Other Name" dataDxfId="22"/>
    <tableColumn id="21" xr3:uid="{917AA84C-145D-4609-9D6C-3FA3C73FAED1}" name="Telephone number" dataDxfId="21"/>
    <tableColumn id="27" xr3:uid="{2E7009B3-B45E-4581-BD9E-B5E3F20D2E8A}" name="Fax" dataDxfId="20"/>
    <tableColumn id="15" xr3:uid="{63E8D1D2-FF8E-4667-BEC5-583DCF479853}" name="Mobile" dataDxfId="19"/>
    <tableColumn id="7" xr3:uid="{8C91D9B0-2CB7-485D-B20B-A3E462168C1A}" name="Department" dataDxfId="18"/>
    <tableColumn id="5" xr3:uid="{76DDBBF1-2B9A-4CF7-9FCB-B5C15A55C3E1}" name="Job Title" dataDxfId="17"/>
    <tableColumn id="26" xr3:uid="{85DA8BF2-FBF5-4BB1-8894-7D047946E5BD}" name="AuthenticationPhone" dataDxfId="16"/>
    <tableColumn id="4" xr3:uid="{5E1222E7-B4CC-499D-BD65-B7E2D811C2A7}" name="Display name" dataDxfId="15">
      <calculatedColumnFormula>_xlfn.CONCAT(Table2[[#This Row],[First name]]," ",Table2[[#This Row],[Last name]])</calculatedColumnFormula>
    </tableColumn>
    <tableColumn id="10" xr3:uid="{846DBEAC-F19F-4210-85FD-0F5A6F23F3E3}" name="User principal name" dataDxfId="14">
      <calculatedColumnFormula>IF(ISBLANK(A2),"",_xlfn.CONCAT(A2,".",B2,"@cardogroup.co.uk"))</calculatedColumnFormula>
    </tableColumn>
    <tableColumn id="17" xr3:uid="{778544CF-145B-4D38-932D-D1C1A98DC126}" name="Company" dataDxfId="13"/>
    <tableColumn id="19" xr3:uid="{EA846F8B-A314-4C66-B490-DD7E0216BA0E}" name="OfficeLocation" dataDxfId="12"/>
    <tableColumn id="6" xr3:uid="{B7E605FF-2022-48B4-A8D2-F49583900C1D}" name="Office" dataDxfId="11">
      <calculatedColumnFormula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Row],[OfficeLocation]]="Basildon"),"Basildon",IF(AND(Table2[[#This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calculatedColumnFormula>
    </tableColumn>
    <tableColumn id="8" xr3:uid="{F225786C-E8DA-4F2D-A1F8-226DCB576964}" name="IsFieldOperative" dataDxfId="10"/>
    <tableColumn id="16" xr3:uid="{83A34629-D60C-47A8-94B2-E8DEE26B3985}" name="D365FieldService" dataDxfId="9"/>
    <tableColumn id="18" xr3:uid="{20773829-F384-4075-A86D-464A92F2256B}" name="Manager Email" dataDxfId="8"/>
    <tableColumn id="24" xr3:uid="{00974610-92E6-4FA0-AC9E-331E0FF69259}" name="Account status" dataDxfId="7">
      <calculatedColumnFormula>IF(ISBLANK(A2),"","Enabled")</calculatedColumnFormula>
    </tableColumn>
    <tableColumn id="9" xr3:uid="{7842A2C4-D7E2-4371-BD4A-65D34C49C352}" name="User logon name" dataDxfId="6">
      <calculatedColumnFormula>IF(ISBLANK(A2),"",_xlfn.CONCAT(A2,".",B2))</calculatedColumnFormula>
    </tableColumn>
    <tableColumn id="11" xr3:uid="{2002F171-D9EF-4FEC-92C7-FB9F54778DC8}" name="Password" dataDxfId="5">
      <calculatedColumnFormula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calculatedColumnFormula>
    </tableColumn>
    <tableColumn id="20" xr3:uid="{253084C5-897A-4741-8898-5E4194926A25}" name="Description" dataDxfId="4"/>
    <tableColumn id="22" xr3:uid="{5CDE84B4-EEF8-4323-93FF-4FF834DE2077}" name="E-mail" dataDxfId="3">
      <calculatedColumnFormula>K2</calculatedColumnFormula>
    </tableColumn>
    <tableColumn id="12" xr3:uid="{0B44BB52-FD82-48E1-BA21-ACAB368770D2}" name="StreetAddress" dataDxfId="2">
      <calculatedColumnFormula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Row],[OfficeLocation]]="Basildon"),"Phoenix House",IF(AND(Table2[[#This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calculatedColumnFormula>
    </tableColumn>
    <tableColumn id="13" xr3:uid="{B02D81E3-E137-406D-A775-A41A9F00CFDC}" name="Post Code" dataDxfId="1">
      <calculatedColumnFormula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Row],[OfficeLocation]]="Basildon"),"SS14 3EZ",IF(AND(Table2[[#This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calculatedColumnFormula>
    </tableColumn>
    <tableColumn id="14" xr3:uid="{CA11D429-0755-4273-B4AD-BD97E9AB6E29}" name="E3Onl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6DF0-4ED8-407E-814C-FBE4E76A12DD}">
  <dimension ref="A1:AC2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15" style="1" customWidth="1"/>
    <col min="2" max="2" width="16.7109375" style="1" customWidth="1"/>
    <col min="3" max="3" width="22" style="1" bestFit="1" customWidth="1"/>
    <col min="4" max="4" width="26.5703125" customWidth="1"/>
    <col min="5" max="5" width="21.140625" customWidth="1"/>
    <col min="6" max="6" width="22" style="1" customWidth="1"/>
    <col min="7" max="7" width="17.28515625" style="1" customWidth="1"/>
    <col min="8" max="8" width="28.42578125" customWidth="1"/>
    <col min="9" max="9" width="25" style="1" customWidth="1"/>
    <col min="10" max="10" width="22" style="1" customWidth="1"/>
    <col min="11" max="11" width="33.28515625" style="1" customWidth="1"/>
    <col min="12" max="12" width="28.140625" style="1" customWidth="1"/>
    <col min="13" max="13" width="27.5703125" customWidth="1"/>
    <col min="14" max="15" width="27" style="1" customWidth="1"/>
    <col min="16" max="16" width="18" customWidth="1"/>
    <col min="17" max="17" width="21" style="1" customWidth="1"/>
    <col min="18" max="18" width="18" customWidth="1"/>
    <col min="19" max="19" width="21" style="1" customWidth="1"/>
    <col min="20" max="20" width="17.28515625" style="6" customWidth="1"/>
    <col min="21" max="21" width="21.140625" style="1" customWidth="1"/>
    <col min="22" max="22" width="22.7109375" customWidth="1"/>
    <col min="23" max="23" width="24" customWidth="1"/>
    <col min="24" max="24" width="15.85546875" customWidth="1"/>
    <col min="25" max="25" width="26" style="1" customWidth="1"/>
    <col min="26" max="26" width="25.28515625" style="1" customWidth="1"/>
    <col min="27" max="27" width="15.28515625" style="1" customWidth="1"/>
    <col min="28" max="28" width="21.42578125" customWidth="1"/>
    <col min="29" max="29" width="28.5703125" customWidth="1"/>
    <col min="30" max="30" width="19.7109375" style="1" customWidth="1"/>
    <col min="31" max="31" width="8.85546875" style="1"/>
    <col min="32" max="32" width="10.7109375" style="1" customWidth="1"/>
    <col min="33" max="33" width="21" style="1" customWidth="1"/>
    <col min="34" max="34" width="20.28515625" style="1" customWidth="1"/>
    <col min="35" max="35" width="12.5703125" style="1" customWidth="1"/>
    <col min="36" max="37" width="18.28515625" style="1" customWidth="1"/>
    <col min="38" max="38" width="12" style="1" customWidth="1"/>
    <col min="39" max="16384" width="8.85546875" style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t="s">
        <v>22</v>
      </c>
      <c r="X1" t="s">
        <v>23</v>
      </c>
      <c r="Y1" s="1" t="s">
        <v>57</v>
      </c>
      <c r="AB1" s="1"/>
      <c r="AC1" s="1"/>
    </row>
    <row r="2" spans="1:29" x14ac:dyDescent="0.25">
      <c r="A2"/>
      <c r="B2"/>
      <c r="C2" s="4"/>
      <c r="D2" s="4"/>
      <c r="E2" s="4"/>
      <c r="F2" s="7"/>
      <c r="G2" s="4"/>
      <c r="H2" s="4"/>
      <c r="I2" s="4"/>
      <c r="J2" s="8" t="str">
        <f>_xlfn.CONCAT(Table2[[#This Row],[First name]]," ",Table2[[#This Row],[Last name]])</f>
        <v xml:space="preserve"> </v>
      </c>
      <c r="K2" s="8" t="str">
        <f t="shared" ref="K2" si="0">IF(ISBLANK(A2),"",_xlfn.CONCAT(A2,".",B2,"@cardogroup.co.uk"))</f>
        <v/>
      </c>
      <c r="L2" s="3"/>
      <c r="M2" s="3"/>
      <c r="N2" s="5" t="str">
        <f>IF(AND(Table2[[#This Row],[Company]]="Cardo Wales and West",Table2[[#This Row],[OfficeLocation]]="Cardiff (CF11 8QF)"),"Cardiff",IF(AND(Table2[[#This Row],[Company]]="Cardo Wales and West",Table2[[#This Row],[OfficeLocation]]="Cardiff (CF5 4AQ)"),"Cardiff",IF(AND(Table2[[#This Row],[Company]]="Cardo Wales and West",Table2[[#This Row],[OfficeLocation]]="Bristol"),"Bristol",IF(AND(Table2[[#This Row],[Company]]="Cardo Wales and West",Table2[[#This Row],[OfficeLocation]]="Exeter"),"Exeter",IF(AND(Table2[[#This Row],[Company]]="Cardo Wales and West",Table2[[#This Row],[OfficeLocation]]="Dorset"),"Dorset",IF(AND(Table2[[#This Row],[Company]]="Cardo Wales and West",Table2[[#This Row],[OfficeLocation]]="Pembroke"),"Pembroke",IF(AND(Table2[[#This Row],[Company]]="Cardo Wales and West",Table2[[#This Row],[OfficeLocation]]="Plymouth"),"Plymouth",IF(AND(Table2[[#This Row],[Company]]="Cardo Wales and West",Table2[[#This Row],[OfficeLocation]]="Pontypridd"),"Pontypridd",IF(AND(Table2[[#This Row],[Company]]="Cardo Wales and West",Table2[[#This Row],[OfficeLocation]]="Caerphilly"),"Caerphilly",IF(AND(Table2[[#This Row],[Company]]="Cardo South",Table2[[#This Row],[OfficeLocation]]="Canterbury"),"Canterbury",IF(AND(Table2[[#This Row],[Company]]="Cardo South",Table2[[#This Row],[OfficeLocation]]="Cardiff"),"Cardiff",IF(AND(Table2[[#This Row],[Company]]="Cardo South",Table2[[#This Row],[OfficeLocation]]="Dacorum"),"Dacorum",IF(AND(Table2[[#This Row],[Company]]="Cardo South",Table2[[#This Row],[OfficeLocation]]="Slough"),"Slough",IF(AND(Table2[[#This Row],[Company]]="Cardo South",Table2[[#This Row],[OfficeLocation]]="Winchester"),"Winchester",IF(AND(Table2[[#This Row],[Company]]="Cardo South",Table2[[#This Row],[OfficeLocation]]="Crawley"),"Crawley, West Sussex",IF(AND(Table2[[#This Row],[Company]]="Cardo South",Table2[[#This Row],[OfficeLocation]]="Kingston upon Thames"),"Kingston upon Thames",IF(AND(Table2[[#This Row],[Company]]="Cardo South",Table2[[#This Row],[OfficeLocation]]="Basildon"),"Basildon",IF(AND(Table2[[#This Row],[Company]]="Cardo Central",Table2[[#This Row],[OfficeLocation]]="Cannock"),"Cannock",IF(AND(Table2[[#This Row],[Company]]="Cardo Group",Table2[[#This Row],[OfficeLocation]]="Cardiff"),"Cardiff",IF(AND(Table2[[#This Row],[Company]]="Cardo Scotland",Table2[[#This Row],[OfficeLocation]]="Livingston"),"Livingston"," "))))))))))))))))))))</f>
        <v xml:space="preserve"> </v>
      </c>
      <c r="O2" s="3"/>
      <c r="P2" s="3"/>
      <c r="Q2" s="4"/>
      <c r="R2" s="5" t="str">
        <f t="shared" ref="R2" si="1">IF(ISBLANK(A2),"","Enabled")</f>
        <v/>
      </c>
      <c r="S2" s="5" t="str">
        <f t="shared" ref="S2" si="2">IF(ISBLANK(A2),"",_xlfn.CONCAT(A2,".",B2))</f>
        <v/>
      </c>
      <c r="T2" s="5" t="str">
        <f t="shared" ref="T2" ca="1" si="3">IF(ISBLANK(A2),"",CHAR(RANDBETWEEN(65,90))&amp;CHAR(RANDBETWEEN(97,122))&amp;CHAR(RANDBETWEEN(97,122))&amp;CHAR(RANDBETWEEN(97,122))&amp;RANDBETWEEN(0,9)&amp;RANDBETWEEN(0,9)&amp;_xlfn.UNICHAR(RANDBETWEEN(35,41))&amp;RANDBETWEEN(0,9)&amp;CHAR(RANDBETWEEN(65,90))&amp;CHAR(RANDBETWEEN(97,122))&amp;CHAR(RANDBETWEEN(97,122))&amp;CHAR(RANDBETWEEN(97,122))&amp;RANDBETWEEN(0,9)&amp;RANDBETWEEN(0,9)&amp;_xlfn.UNICHAR(RANDBETWEEN(35,41))&amp;RANDBETWEEN(0,9))</f>
        <v/>
      </c>
      <c r="U2" s="4"/>
      <c r="V2" s="8" t="str">
        <f t="shared" ref="V2" si="4">K2</f>
        <v/>
      </c>
      <c r="W2" s="5" t="str">
        <f>IF(AND(Table2[[#This Row],[Company]]="Cardo Wales and West",Table2[[#This Row],[OfficeLocation]]="Cardiff (CF11 8QF)"),"Unit 1 &amp; 2 Stuart Close",IF(AND(Table2[[#This Row],[Company]]="Cardo Wales and West",Table2[[#This Row],[OfficeLocation]]="Cardiff (CF5 4AQ)"),"8, Ely Bridge Industrial Estate",IF(AND(Table2[[#This Row],[Company]]="Cardo Wales and West",Table2[[#This Row],[OfficeLocation]]="Bristol"),"Unit 5 &amp; 6 Avon Business Park",IF(AND(Table2[[#This Row],[Company]]="Cardo Wales and West",Table2[[#This Row],[OfficeLocation]]="Exeter"),"4-6 Ashton Road, Marsh Barton Trading Estate",IF(AND(Table2[[#This Row],[Company]]="Cardo Wales and West",Table2[[#This Row],[OfficeLocation]]="Dorset"),"9 Nimrod Way, Ferndown Industrial Estate, Wimborne",IF(AND(Table2[[#This Row],[Company]]="Cardo Wales and West",Table2[[#This Row],[OfficeLocation]]="Pembroke"),"Unit 13 Kingswood Trading Estate",IF(AND(Table2[[#This Row],[Company]]="Cardo Wales and West",Table2[[#This Row],[OfficeLocation]]="Plymouth"),"33 Sisna Park, Estover Road",IF(AND(Table2[[#This Row],[Company]]="Cardo Wales and West",Table2[[#This Row],[OfficeLocation]]="Pontypridd"),"Unit 37, Albion Industrial Estate Cilfynydd Road Cilfynydd",IF(AND(Table2[[#This Row],[Company]]="Cardo Wales and West",Table2[[#This Row],[OfficeLocation]]="Caerphilly"),"Unit 3A, Gallagher Retail Park",IF(AND(Table2[[#This Row],[Company]]="Cardo South",Table2[[#This Row],[OfficeLocation]]="Canterbury"),"Exchange House",IF(AND(Table2[[#This Row],[Company]]="Cardo South",Table2[[#This Row],[OfficeLocation]]="Cardiff"),"Unit 1&amp;2 Stuart Close",IF(AND(Table2[[#This Row],[Company]]="Cardo South",Table2[[#This Row],[OfficeLocation]]="Dacorum"),"Unit 4 Maxted Court",IF(AND(Table2[[#This Row],[Company]]="Cardo South",Table2[[#This Row],[OfficeLocation]]="Slough"),"Hawker House",IF(AND(Table2[[#This Row],[Company]]="Cardo South",Table2[[#This Row],[OfficeLocation]]="Winchester"),"Gabare House",IF(AND(Table2[[#This Row],[Company]]="Cardo South",Table2[[#This Row],[OfficeLocation]]="Crawley"),"Kingfisher House",IF(AND(Table2[[#This Row],[Company]]="Cardo South",Table2[[#This Row],[OfficeLocation]]="Basildon"),"Phoenix House",IF(AND(Table2[[#This Row],[Company]]="Cardo South",Table2[[#This Row],[OfficeLocation]]="Kingston upon Thames"),"Unit 1 Kingsmill Business Park",IF(AND(Table2[[#This Row],[Company]]="Cardo Central",Table2[[#This Row],[OfficeLocation]]="Cannock"),"Unit 17, Mill Park Industrial Estate, Hawks Green",IF(AND(Table2[[#This Row],[Company]]="Cardo Group",Table2[[#This Row],[OfficeLocation]]="Cardiff"),"Unit 1 &amp; 2 Stuart Close",IF(AND(Table2[[#This Row],[Company]]="Cardo Scotland",Table2[[#This Row],[OfficeLocation]]="Livingston"),"12 Fairbairn Road"," "))))))))))))))))))))</f>
        <v xml:space="preserve"> </v>
      </c>
      <c r="X2" s="5" t="str">
        <f>IF(AND(Table2[[#This Row],[Company]]="Cardo Wales and West",Table2[[#This Row],[OfficeLocation]]="Cardiff (CF11 8QF)"),"CF11 8QF",IF(AND(Table2[[#This Row],[Company]]="Cardo Wales and West",Table2[[#This Row],[OfficeLocation]]="Cardiff (CF5 4AQ)"),"CF5 4AQ",IF(AND(Table2[[#This Row],[Company]]="Cardo Wales and West",Table2[[#This Row],[OfficeLocation]]="Bristol"),"BS16 3JP",IF(AND(Table2[[#This Row],[Company]]="Cardo Wales and West",Table2[[#This Row],[OfficeLocation]]="Exeter"),"EX2 8LN",IF(AND(Table2[[#This Row],[Company]]="Cardo Wales and West",Table2[[#This Row],[OfficeLocation]]="Dorset"),"BH21 7UH",IF(AND(Table2[[#This Row],[Company]]="Cardo Wales and West",Table2[[#This Row],[OfficeLocation]]="Pembroke"),"SA72 4RS",IF(AND(Table2[[#This Row],[Company]]="Cardo Wales and West",Table2[[#This Row],[OfficeLocation]]="Plymouth"),"PL6 7AE",IF(AND(Table2[[#This Row],[Company]]="Cardo Wales and West",Table2[[#This Row],[OfficeLocation]]="Pontypridd"),"CF37 4NX",IF(AND(Table2[[#This Row],[Company]]="Cardo Wales and West",Table2[[#This Row],[OfficeLocation]]="Caerphilly"),"CF83 3GX",IF(AND(Table2[[#This Row],[Company]]="Cardo South",Table2[[#This Row],[OfficeLocation]]="Canterbury"),"CT3 4NH",IF(AND(Table2[[#This Row],[Company]]="Cardo South",Table2[[#This Row],[OfficeLocation]]="Cardiff"),"CF11 8QF",IF(AND(Table2[[#This Row],[Company]]="Cardo South",Table2[[#This Row],[OfficeLocation]]="Dacorum"),"HP2 7BL",IF(AND(Table2[[#This Row],[Company]]="Cardo South",Table2[[#This Row],[OfficeLocation]]="Slough"),"SL3 8XP",IF(AND(Table2[[#This Row],[Company]]="Cardo South",Table2[[#This Row],[OfficeLocation]]="Winchester"),"SO23 0LD",IF(AND(Table2[[#This Row],[Company]]="Cardo South",Table2[[#This Row],[OfficeLocation]]="Crawley"),"RH10 9XN",IF(AND(Table2[[#This Row],[Company]]="Cardo South",Table2[[#This Row],[OfficeLocation]]="Basildon"),"SS14 3EZ",IF(AND(Table2[[#This Row],[Company]]="Cardo South",Table2[[#This Row],[OfficeLocation]]="Kingston upon Thames"),"KT1 3GZ",IF(AND(Table2[[#This Row],[Company]]="Cardo Central",Table2[[#This Row],[OfficeLocation]]="Cannock"),"WS11 7XT",IF(AND(Table2[[#This Row],[Company]]="Cardo Group",Table2[[#This Row],[OfficeLocation]]="Cardiff"),"CF11 8QF",IF(AND(Table2[[#This Row],[Company]]="Cardo Scotland",Table2[[#This Row],[OfficeLocation]]="Livingston"),"EH54 6TS"," "))))))))))))))))))))</f>
        <v xml:space="preserve"> </v>
      </c>
      <c r="AB2" s="1"/>
      <c r="AC2" s="1"/>
    </row>
  </sheetData>
  <sheetProtection formatColumns="0" formatRows="0" selectLockedCells="1"/>
  <phoneticPr fontId="2" type="noConversion"/>
  <dataValidations count="4">
    <dataValidation type="custom" allowBlank="1" showInputMessage="1" showErrorMessage="1" sqref="A1" xr:uid="{5CD2721B-D18D-4E22-8BDC-4398899E35F5}">
      <formula1>#REF!=SUBSTITUTE(#REF!," ","")</formula1>
    </dataValidation>
    <dataValidation showInputMessage="1" showErrorMessage="1" errorTitle="Error!" error="Please indicate whether user is an operative or not" sqref="F1:F2 T3:T1048576" xr:uid="{702F823C-94B2-43F8-BA79-5E0BC2A4D45E}"/>
    <dataValidation type="custom" allowBlank="1" showInputMessage="1" showErrorMessage="1" errorTitle="Wrong Entry!" error="Please remove any space in the name field!" sqref="B2" xr:uid="{15AF677A-8ADF-4A5F-91E8-EDE21FDD9D17}">
      <formula1>B2=SUBSTITUTE(B2," ","")</formula1>
    </dataValidation>
    <dataValidation type="custom" allowBlank="1" showInputMessage="1" showErrorMessage="1" sqref="A2:A1048576" xr:uid="{797FCD1B-22DB-4E39-A267-8D7AFDAD7023}">
      <formula1>A2=SUBSTITUTE(A2," ","")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&amp;C_x000D_&amp;1#&amp;"Calibri"&amp;12&amp;KFF0000 [Internal]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xr:uid="{517AE448-70BC-40B3-84B2-F102FDB6EA2C}">
          <x14:formula1>
            <xm:f>Values!$B$2:$B$3</xm:f>
          </x14:formula1>
          <xm:sqref>L1 N3:N1048576</xm:sqref>
        </x14:dataValidation>
        <x14:dataValidation type="list" showInputMessage="1" showErrorMessage="1" errorTitle="Error!" error="Please indicate whether user is an operative or not" xr:uid="{9663C705-7A71-4450-A9C8-18CB4770379A}">
          <x14:formula1>
            <xm:f>Values!$A$2:$A$3</xm:f>
          </x14:formula1>
          <xm:sqref>O2</xm:sqref>
        </x14:dataValidation>
        <x14:dataValidation type="list" showInputMessage="1" showErrorMessage="1" errorTitle="Error!" error="Please indicate whether user is an operative or not" xr:uid="{6693A8A6-010D-424D-AB4C-25674DFFB439}">
          <x14:formula1>
            <xm:f>Values!$F$2:$F$3</xm:f>
          </x14:formula1>
          <xm:sqref>P2</xm:sqref>
        </x14:dataValidation>
        <x14:dataValidation type="list" showInputMessage="1" showErrorMessage="1" xr:uid="{422D1563-B3FB-45AA-9964-EF50F19AED38}">
          <x14:formula1>
            <xm:f>Values!$B$2:$B$7</xm:f>
          </x14:formula1>
          <xm:sqref>L2</xm:sqref>
        </x14:dataValidation>
        <x14:dataValidation type="list" allowBlank="1" showInputMessage="1" showErrorMessage="1" xr:uid="{61114AF1-1801-42F7-B5A3-F934DE86858E}">
          <x14:formula1>
            <xm:f>Values!$G$2:$G$3</xm:f>
          </x14:formula1>
          <xm:sqref>R2</xm:sqref>
        </x14:dataValidation>
        <x14:dataValidation type="list" allowBlank="1" showInputMessage="1" showErrorMessage="1" xr:uid="{4150F982-66D5-4FE4-AF31-8D3CDE1893A1}">
          <x14:formula1>
            <xm:f>IF(L2="Cardo South",Values!$C$2:$C$20,IF(L2="Cardo Central",Values!$D$2:$D$20,IF(L2="Cardo Wales and West",Values!$H$2:$H$20,IF(L2="Cardo Group",Values!$E$2:$E$20,IF(L2="Cardo Scotland",Values!$I$2:$I$20,"Nothing")))))</xm:f>
          </x14:formula1>
          <xm:sqref>M2</xm:sqref>
        </x14:dataValidation>
        <x14:dataValidation type="list" allowBlank="1" showInputMessage="1" showErrorMessage="1" xr:uid="{E81111B6-3220-41CA-B4AE-8EFEA0CC2F22}">
          <x14:formula1>
            <xm:f>Values!$J$2:$J$3</xm:f>
          </x14:formula1>
          <xm:sqref>Y2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36CE-BE88-4E14-9CD6-DC3BB7653FE2}">
  <dimension ref="A1:J10"/>
  <sheetViews>
    <sheetView topLeftCell="B1" workbookViewId="0">
      <selection activeCell="B2" sqref="B2"/>
    </sheetView>
  </sheetViews>
  <sheetFormatPr defaultRowHeight="15" x14ac:dyDescent="0.25"/>
  <cols>
    <col min="1" max="1" width="16.140625" customWidth="1"/>
    <col min="2" max="2" width="25.85546875" customWidth="1"/>
    <col min="3" max="5" width="21.28515625" customWidth="1"/>
    <col min="6" max="6" width="25.85546875" customWidth="1"/>
    <col min="7" max="7" width="26.28515625" customWidth="1"/>
    <col min="8" max="8" width="22" customWidth="1"/>
    <col min="9" max="9" width="16.5703125" customWidth="1"/>
  </cols>
  <sheetData>
    <row r="1" spans="1:10" x14ac:dyDescent="0.25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24</v>
      </c>
      <c r="I1" s="2" t="s">
        <v>54</v>
      </c>
      <c r="J1" s="2" t="s">
        <v>57</v>
      </c>
    </row>
    <row r="2" spans="1:10" x14ac:dyDescent="0.25">
      <c r="A2" t="s">
        <v>38</v>
      </c>
      <c r="B2" t="s">
        <v>33</v>
      </c>
      <c r="C2" t="s">
        <v>39</v>
      </c>
      <c r="D2" t="s">
        <v>40</v>
      </c>
      <c r="E2" t="s">
        <v>26</v>
      </c>
      <c r="F2" t="s">
        <v>41</v>
      </c>
      <c r="G2" t="s">
        <v>42</v>
      </c>
      <c r="H2" t="s">
        <v>25</v>
      </c>
      <c r="I2" t="s">
        <v>55</v>
      </c>
      <c r="J2" t="s">
        <v>41</v>
      </c>
    </row>
    <row r="3" spans="1:10" x14ac:dyDescent="0.25">
      <c r="A3" t="s">
        <v>43</v>
      </c>
      <c r="B3" t="s">
        <v>34</v>
      </c>
      <c r="C3" t="s">
        <v>26</v>
      </c>
      <c r="F3" t="s">
        <v>44</v>
      </c>
      <c r="G3" t="s">
        <v>45</v>
      </c>
      <c r="H3" t="s">
        <v>30</v>
      </c>
      <c r="J3" t="s">
        <v>44</v>
      </c>
    </row>
    <row r="4" spans="1:10" x14ac:dyDescent="0.25">
      <c r="B4" t="s">
        <v>35</v>
      </c>
      <c r="C4" t="s">
        <v>46</v>
      </c>
      <c r="H4" t="s">
        <v>27</v>
      </c>
    </row>
    <row r="5" spans="1:10" x14ac:dyDescent="0.25">
      <c r="B5" t="s">
        <v>24</v>
      </c>
      <c r="C5" t="s">
        <v>47</v>
      </c>
      <c r="H5" t="s">
        <v>28</v>
      </c>
    </row>
    <row r="6" spans="1:10" x14ac:dyDescent="0.25">
      <c r="B6" t="s">
        <v>54</v>
      </c>
      <c r="C6" t="s">
        <v>48</v>
      </c>
      <c r="H6" t="s">
        <v>29</v>
      </c>
    </row>
    <row r="7" spans="1:10" x14ac:dyDescent="0.25">
      <c r="C7" t="s">
        <v>49</v>
      </c>
      <c r="H7" t="s">
        <v>50</v>
      </c>
    </row>
    <row r="8" spans="1:10" x14ac:dyDescent="0.25">
      <c r="C8" t="s">
        <v>53</v>
      </c>
      <c r="H8" t="s">
        <v>51</v>
      </c>
    </row>
    <row r="9" spans="1:10" x14ac:dyDescent="0.25">
      <c r="C9" t="s">
        <v>58</v>
      </c>
      <c r="H9" t="s">
        <v>52</v>
      </c>
    </row>
    <row r="10" spans="1:10" x14ac:dyDescent="0.25">
      <c r="H10" t="s">
        <v>56</v>
      </c>
    </row>
  </sheetData>
  <pageMargins left="0.7" right="0.7" top="0.75" bottom="0.75" header="0.3" footer="0.3"/>
  <headerFooter>
    <oddFooter>&amp;C_x000D_&amp;1#&amp;"Calibri"&amp;12&amp;KFF0000 [Internal]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6C9388-624A-4AE2-9009-5CE143D76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UserData</vt:lpstr>
      <vt:lpstr>Values</vt:lpstr>
      <vt:lpstr>Cardo_Central</vt:lpstr>
      <vt:lpstr>Cardo_Group</vt:lpstr>
      <vt:lpstr>Cardo_South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James</dc:creator>
  <cp:keywords/>
  <dc:description/>
  <cp:lastModifiedBy>Peter James</cp:lastModifiedBy>
  <cp:revision/>
  <dcterms:created xsi:type="dcterms:W3CDTF">2024-03-21T18:19:56Z</dcterms:created>
  <dcterms:modified xsi:type="dcterms:W3CDTF">2025-06-17T14:39:28Z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f7c979-cf9b-49bc-9c12-7f7a086abaab_Enabled">
    <vt:lpwstr>true</vt:lpwstr>
  </property>
  <property fmtid="{D5CDD505-2E9C-101B-9397-08002B2CF9AE}" pid="3" name="MSIP_Label_20f7c979-cf9b-49bc-9c12-7f7a086abaab_SetDate">
    <vt:lpwstr>2024-03-21T18:20:04Z</vt:lpwstr>
  </property>
  <property fmtid="{D5CDD505-2E9C-101B-9397-08002B2CF9AE}" pid="4" name="MSIP_Label_20f7c979-cf9b-49bc-9c12-7f7a086abaab_Method">
    <vt:lpwstr>Standard</vt:lpwstr>
  </property>
  <property fmtid="{D5CDD505-2E9C-101B-9397-08002B2CF9AE}" pid="5" name="MSIP_Label_20f7c979-cf9b-49bc-9c12-7f7a086abaab_Name">
    <vt:lpwstr>Internal</vt:lpwstr>
  </property>
  <property fmtid="{D5CDD505-2E9C-101B-9397-08002B2CF9AE}" pid="6" name="MSIP_Label_20f7c979-cf9b-49bc-9c12-7f7a086abaab_SiteId">
    <vt:lpwstr>676bba7e-1d29-440d-9f41-13b8c2eb1e46</vt:lpwstr>
  </property>
  <property fmtid="{D5CDD505-2E9C-101B-9397-08002B2CF9AE}" pid="7" name="MSIP_Label_20f7c979-cf9b-49bc-9c12-7f7a086abaab_ActionId">
    <vt:lpwstr>fbdd868f-3256-491b-b6ad-155c8a296a6b</vt:lpwstr>
  </property>
  <property fmtid="{D5CDD505-2E9C-101B-9397-08002B2CF9AE}" pid="8" name="MSIP_Label_20f7c979-cf9b-49bc-9c12-7f7a086abaab_ContentBits">
    <vt:lpwstr>2</vt:lpwstr>
  </property>
</Properties>
</file>