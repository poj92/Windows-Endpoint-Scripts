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Cardo-Scripts-main-v1.9/"/>
    </mc:Choice>
  </mc:AlternateContent>
  <xr:revisionPtr revIDLastSave="18" documentId="8_{4B195C33-B688-40EC-AD46-15BD223AC1AA}" xr6:coauthVersionLast="47" xr6:coauthVersionMax="47" xr10:uidLastSave="{5F7A95BC-1D06-487B-8620-309AB0BB32B7}"/>
  <bookViews>
    <workbookView xWindow="3030" yWindow="3030" windowWidth="21600" windowHeight="11295" firstSheet="1" activeTab="1" xr2:uid="{1DA4C87B-B08F-4153-89F0-728BC5A18158}"/>
  </bookViews>
  <sheets>
    <sheet name="Values" sheetId="2" state="hidden" r:id="rId1"/>
    <sheet name="UserData" sheetId="1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T2" i="1"/>
  <c r="S2" i="1"/>
  <c r="R2" i="1"/>
  <c r="N2" i="1"/>
  <c r="K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<sst xmlns="http://schemas.openxmlformats.org/spreadsheetml/2006/main" count="70" uniqueCount="59">
  <si>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</si>
  <si>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</si>
  <si>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</si>
  <si>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</si>
  <si>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</si>
  <si>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</si>
  <si>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</si>
  <si>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Cardo Wales and West</t>
  </si>
  <si>
    <t>Cardo Scotland</t>
  </si>
  <si>
    <t>E3Only</t>
  </si>
  <si>
    <t>Yes</t>
  </si>
  <si>
    <t>Canterbury</t>
  </si>
  <si>
    <t>Cannock</t>
  </si>
  <si>
    <t>Cardiff</t>
  </si>
  <si>
    <t>Enabled</t>
  </si>
  <si>
    <t>Cardiff (CF11 8QF)</t>
  </si>
  <si>
    <t>Livingston</t>
  </si>
  <si>
    <t>No</t>
  </si>
  <si>
    <t>Disabled</t>
  </si>
  <si>
    <t>Cardiff (CF5 4AQ)</t>
  </si>
  <si>
    <t>Dacorum</t>
  </si>
  <si>
    <t>Bristol</t>
  </si>
  <si>
    <t>Slough</t>
  </si>
  <si>
    <t>Exeter</t>
  </si>
  <si>
    <t>Winchester</t>
  </si>
  <si>
    <t>Dorset</t>
  </si>
  <si>
    <t>Crawley</t>
  </si>
  <si>
    <t>Pembroke</t>
  </si>
  <si>
    <t>Kingston upon Thames</t>
  </si>
  <si>
    <t>Plymouth</t>
  </si>
  <si>
    <t>Basildon</t>
  </si>
  <si>
    <t>Pontypridd</t>
  </si>
  <si>
    <t>Caerphilly</t>
  </si>
  <si>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</si>
  <si>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</si>
  <si>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</si>
  <si>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</si>
  <si>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</si>
  <si>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</si>
  <si>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</si>
  <si>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</si>
  <si>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</si>
  <si>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</si>
  <si>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</si>
  <si>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</si>
  <si>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</si>
  <si>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</si>
  <si>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</si>
  <si>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</si>
  <si>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</si>
  <si>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</si>
  <si>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</si>
  <si>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</si>
  <si>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</si>
  <si>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</si>
  <si>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</si>
  <si>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Licenses</t>
  </si>
  <si>
    <t>Country</t>
  </si>
  <si>
    <t>UserPrincipalName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</si>
</sst>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0" fontId="3" fillId="0" borderId="1" xfId="1" applyBorder="1" applyProtection="1">
      <protection locked="0"/>
    </xf>
  </cellXfs>
  <cellStyles count="2">
    <cellStyle name="Hyperlink" xfId="1" builtinId="8"/>
    <cellStyle name="Normal" xfId="0" builtinId="0"/>
  </cellStyles>
  <dxfs count="29"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AA2" totalsRowShown="0" headerRowDxfId="28" dataDxfId="27">
  <autoFilter ref="A1:AA2" xr:uid="{5B4C2E98-863C-4EA4-9CCC-F1EDFD77BD54}"/>
  <tableColumns count="27">
    <tableColumn id="1" xr3:uid="{7D89E8A3-3887-43E5-9BCC-9461EFFDB238}" name="First name" dataDxfId="26"/>
    <tableColumn id="2" xr3:uid="{5DC6CB64-A5E7-4615-849F-6A22B868EBED}" name="Last name" dataDxfId="25"/>
    <tableColumn id="3" xr3:uid="{EFF79101-43F9-4479-A5CD-9C1D5EAAB5CE}" name="Other Name" dataDxfId="24"/>
    <tableColumn id="21" xr3:uid="{917AA84C-145D-4609-9D6C-3FA3C73FAED1}" name="Telephone number" dataDxfId="23"/>
    <tableColumn id="27" xr3:uid="{2E7009B3-B45E-4581-BD9E-B5E3F20D2E8A}" name="Fax" dataDxfId="22"/>
    <tableColumn id="15" xr3:uid="{63E8D1D2-FF8E-4667-BEC5-583DCF479853}" name="Mobile" dataDxfId="21"/>
    <tableColumn id="7" xr3:uid="{8C91D9B0-2CB7-485D-B20B-A3E462168C1A}" name="Department" dataDxfId="20"/>
    <tableColumn id="5" xr3:uid="{76DDBBF1-2B9A-4CF7-9FCB-B5C15A55C3E1}" name="Job Title" dataDxfId="19"/>
    <tableColumn id="26" xr3:uid="{85DA8BF2-FBF5-4BB1-8894-7D047946E5BD}" name="AuthenticationPhone" dataDxfId="18"/>
    <tableColumn id="4" xr3:uid="{5E1222E7-B4CC-499D-BD65-B7E2D811C2A7}" name="Display name" dataDxfId="17">
      <calculatedColumnFormula>_xlfn.CONCAT(Table2[[#This Row],[First name]]," ",Table2[[#This Row],[Last name]])</calculatedColumnFormula>
    </tableColumn>
    <tableColumn id="10" xr3:uid="{846DBEAC-F19F-4210-85FD-0F5A6F23F3E3}" name="UserPrincipalName" dataDxfId="16">
      <calculatedColumnFormula>IF(ISBLANK(A2),"",_xlfn.CONCAT(A2,".",B2,"@cardogroup.co.uk"))</calculatedColumnFormula>
    </tableColumn>
    <tableColumn id="17" xr3:uid="{778544CF-145B-4D38-932D-D1C1A98DC126}" name="Company" dataDxfId="15"/>
    <tableColumn id="19" xr3:uid="{EA846F8B-A314-4C66-B490-DD7E0216BA0E}" name="OfficeLocation" dataDxfId="14"/>
    <tableColumn id="6" xr3:uid="{B7E605FF-2022-48B4-A8D2-F49583900C1D}" name="Office" dataDxfId="13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2"/>
    <tableColumn id="16" xr3:uid="{83A34629-D60C-47A8-94B2-E8DEE26B3985}" name="D365FieldService" dataDxfId="11"/>
    <tableColumn id="18" xr3:uid="{20773829-F384-4075-A86D-464A92F2256B}" name="Manager Email" dataDxfId="10"/>
    <tableColumn id="24" xr3:uid="{00974610-92E6-4FA0-AC9E-331E0FF69259}" name="Account status" dataDxfId="9">
      <calculatedColumnFormula>IF(ISBLANK(A2),"","Enabled")</calculatedColumnFormula>
    </tableColumn>
    <tableColumn id="9" xr3:uid="{7842A2C4-D7E2-4371-BD4A-65D34C49C352}" name="User logon name" dataDxfId="8">
      <calculatedColumnFormula>IF(ISBLANK(A2),"",_xlfn.CONCAT(A2,".",B2))</calculatedColumnFormula>
    </tableColumn>
    <tableColumn id="11" xr3:uid="{2002F171-D9EF-4FEC-92C7-FB9F54778DC8}" name="Password" dataDxfId="7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6"/>
    <tableColumn id="22" xr3:uid="{5CDE84B4-EEF8-4323-93FF-4FF834DE2077}" name="E-mail" dataDxfId="5">
      <calculatedColumnFormula>K2</calculatedColumnFormula>
    </tableColumn>
    <tableColumn id="12" xr3:uid="{0B44BB52-FD82-48E1-BA21-ACAB368770D2}" name="StreetAddress" dataDxfId="4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3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2"/>
    <tableColumn id="23" xr3:uid="{1CE212BC-65DB-4EE4-996C-CF3D28C363A2}" name="Licenses" dataDxfId="1"/>
    <tableColumn id="25" xr3:uid="{C6BA0473-2228-4263-82E9-2D2806DD813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workbookViewId="0">
      <selection activeCell="A3" sqref="A3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2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25">
      <c r="A3" t="s">
        <v>17</v>
      </c>
      <c r="B3" t="s">
        <v>3</v>
      </c>
      <c r="C3" t="s">
        <v>13</v>
      </c>
      <c r="F3" t="s">
        <v>17</v>
      </c>
      <c r="G3" t="s">
        <v>18</v>
      </c>
      <c r="H3" t="s">
        <v>19</v>
      </c>
      <c r="J3" t="s">
        <v>17</v>
      </c>
    </row>
    <row r="4" spans="1:10" x14ac:dyDescent="0.25">
      <c r="B4" t="s">
        <v>4</v>
      </c>
      <c r="C4" t="s">
        <v>20</v>
      </c>
      <c r="H4" t="s">
        <v>21</v>
      </c>
    </row>
    <row r="5" spans="1:10" x14ac:dyDescent="0.25">
      <c r="B5" t="s">
        <v>7</v>
      </c>
      <c r="C5" t="s">
        <v>22</v>
      </c>
      <c r="H5" t="s">
        <v>23</v>
      </c>
    </row>
    <row r="6" spans="1:10" x14ac:dyDescent="0.25">
      <c r="B6" t="s">
        <v>8</v>
      </c>
      <c r="C6" t="s">
        <v>24</v>
      </c>
      <c r="H6" t="s">
        <v>25</v>
      </c>
    </row>
    <row r="7" spans="1:10" x14ac:dyDescent="0.25">
      <c r="C7" t="s">
        <v>26</v>
      </c>
      <c r="H7" t="s">
        <v>27</v>
      </c>
    </row>
    <row r="8" spans="1:10" x14ac:dyDescent="0.25">
      <c r="C8" t="s">
        <v>28</v>
      </c>
      <c r="H8" t="s">
        <v>29</v>
      </c>
    </row>
    <row r="9" spans="1:10" x14ac:dyDescent="0.25">
      <c r="C9" t="s">
        <v>30</v>
      </c>
      <c r="H9" t="s">
        <v>31</v>
      </c>
    </row>
    <row r="10" spans="1:10" x14ac:dyDescent="0.25">
      <c r="H10" t="s">
        <v>32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B2"/>
  <sheetViews>
    <sheetView tabSelected="1" topLeftCell="H1" workbookViewId="0">
      <selection activeCell="K1" sqref="K1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9.7109375" style="1" customWidth="1"/>
    <col min="28" max="28" width="28.5703125" customWidth="1"/>
    <col min="29" max="29" width="19.7109375" style="1" customWidth="1"/>
    <col min="30" max="30" width="8.85546875" style="1"/>
    <col min="31" max="31" width="10.7109375" style="1" customWidth="1"/>
    <col min="32" max="32" width="21" style="1" customWidth="1"/>
    <col min="33" max="33" width="20.28515625" style="1" customWidth="1"/>
    <col min="34" max="34" width="12.5703125" style="1" customWidth="1"/>
    <col min="35" max="36" width="18.28515625" style="1" customWidth="1"/>
    <col min="37" max="37" width="12" style="1" customWidth="1"/>
    <col min="38" max="16384" width="8.85546875" style="1"/>
  </cols>
  <sheetData>
    <row r="1" spans="1:28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6" t="s">
        <v>38</v>
      </c>
      <c r="G1" s="1" t="s">
        <v>39</v>
      </c>
      <c r="H1" s="1" t="s">
        <v>40</v>
      </c>
      <c r="I1" s="6" t="s">
        <v>41</v>
      </c>
      <c r="J1" s="1" t="s">
        <v>42</v>
      </c>
      <c r="K1" s="1" t="s">
        <v>58</v>
      </c>
      <c r="L1" s="1" t="s">
        <v>43</v>
      </c>
      <c r="M1" s="1" t="s">
        <v>44</v>
      </c>
      <c r="N1" t="s">
        <v>45</v>
      </c>
      <c r="O1" s="1" t="s">
        <v>46</v>
      </c>
      <c r="P1" s="1" t="s">
        <v>47</v>
      </c>
      <c r="Q1" s="1" t="s">
        <v>48</v>
      </c>
      <c r="R1" t="s">
        <v>49</v>
      </c>
      <c r="S1" t="s">
        <v>50</v>
      </c>
      <c r="T1" t="s">
        <v>51</v>
      </c>
      <c r="U1" s="1" t="s">
        <v>52</v>
      </c>
      <c r="V1" s="1" t="s">
        <v>53</v>
      </c>
      <c r="W1" t="s">
        <v>54</v>
      </c>
      <c r="X1" t="s">
        <v>55</v>
      </c>
      <c r="Y1" s="1" t="s">
        <v>9</v>
      </c>
      <c r="Z1" s="1" t="s">
        <v>56</v>
      </c>
      <c r="AA1" s="1" t="s">
        <v>57</v>
      </c>
      <c r="AB1" s="1"/>
    </row>
    <row r="2" spans="1:28" x14ac:dyDescent="0.25">
      <c r="A2"/>
      <c r="B2"/>
      <c r="C2" s="4"/>
      <c r="D2" s="7"/>
      <c r="E2" s="4"/>
      <c r="F2" s="7"/>
      <c r="G2" s="4"/>
      <c r="H2" s="4"/>
      <c r="I2" s="7"/>
      <c r="J2" s="8" t="str">
        <f>_xlfn.CONCAT(Table2[[#This Row],[First name]]," ",Table2[[#This Row],[Last name]])</f>
        <v xml:space="preserve"> </v>
      </c>
      <c r="K2" s="8" t="str">
        <f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Row],[OfficeLocation]]="Romford"),"Romford",IF(AND(Table2[[#This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9"/>
      <c r="R2" s="5" t="str">
        <f>IF(ISBLANK(A2),"","Enabled")</f>
        <v/>
      </c>
      <c r="S2" s="5" t="str">
        <f>IF(ISBLANK(A2),"",_xlfn.CONCAT(A2,".",B2))</f>
        <v/>
      </c>
      <c r="T2" s="5" t="str">
        <f ca="1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Row],[OfficeLocation]]="Romford"),"Faringdon Avenue",IF(AND(Table2[[#This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Row],[OfficeLocation]]="Romford"),"RM3 8ST",IF(AND(Table2[[#This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</row>
  </sheetData>
  <sheetProtection formatColumns="0" formatRows="0" selectLockedCells="1"/>
  <phoneticPr fontId="2" type="noConversion"/>
  <dataValidations count="5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allowBlank="1" showInputMessage="1" showErrorMessage="1" sqref="N2" xr:uid="{423D3D46-B05E-4575-BF4E-E90357B9EA65}"/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Values</vt:lpstr>
      <vt:lpstr>UserData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2026-01-22T10:23:40Z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